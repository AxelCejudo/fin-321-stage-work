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Hedges" sheetId="2" state="visible" r:id="rId2"/>
  </sheets>
  <definedNames>
    <definedName name="FC_AMT">Inputs!$B$2</definedName>
    <definedName name="S0_in">Inputs!$B$3</definedName>
    <definedName name="F0_in">Inputs!$B$4</definedName>
    <definedName name="R_USD">Inputs!$B$5</definedName>
    <definedName name="R_FC">Inputs!$B$6</definedName>
    <definedName name="K_PUT">Inputs!$B$7</definedName>
    <definedName name="K_CALL">Inputs!$B$8</definedName>
    <definedName name="PREM_PUT">Inputs!$B$9</definedName>
    <definedName name="PREM_CALL">Inputs!$B$10</definedName>
    <definedName name="T_DAYS">Inputs!$B$11</definedName>
    <definedName name="T_YRS">Inputs!$B$12</definedName>
    <definedName name="TX_COST">Inputs!$B$13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Variable</t>
        </is>
      </c>
      <c r="B1" t="inlineStr">
        <is>
          <t>Value</t>
        </is>
      </c>
    </row>
    <row r="2">
      <c r="A2" t="inlineStr">
        <is>
          <t>FC_AMT</t>
        </is>
      </c>
      <c r="B2" s="1" t="n">
        <v>5000000</v>
      </c>
    </row>
    <row r="3">
      <c r="A3" t="inlineStr">
        <is>
          <t>S0_in</t>
        </is>
      </c>
      <c r="B3" s="1" t="n">
        <v>1.1</v>
      </c>
    </row>
    <row r="4">
      <c r="A4" t="inlineStr">
        <is>
          <t>F0_in</t>
        </is>
      </c>
      <c r="B4" s="1" t="n">
        <v>1.12</v>
      </c>
    </row>
    <row r="5">
      <c r="A5" t="inlineStr">
        <is>
          <t>R_USD</t>
        </is>
      </c>
      <c r="B5" s="1" t="n">
        <v>0.04</v>
      </c>
    </row>
    <row r="6">
      <c r="A6" t="inlineStr">
        <is>
          <t>R_FC</t>
        </is>
      </c>
      <c r="B6" s="1" t="n">
        <v>0.02</v>
      </c>
    </row>
    <row r="7">
      <c r="A7" t="inlineStr">
        <is>
          <t>K_PUT</t>
        </is>
      </c>
      <c r="B7" s="1" t="n">
        <v>1.08</v>
      </c>
    </row>
    <row r="8">
      <c r="A8" t="inlineStr">
        <is>
          <t>K_CALL</t>
        </is>
      </c>
      <c r="B8" s="1" t="n">
        <v>1.08</v>
      </c>
    </row>
    <row r="9">
      <c r="A9" t="inlineStr">
        <is>
          <t>PREM_PUT</t>
        </is>
      </c>
      <c r="B9" s="1" t="n">
        <v>0.02</v>
      </c>
    </row>
    <row r="10">
      <c r="A10" t="inlineStr">
        <is>
          <t>PREM_CALL</t>
        </is>
      </c>
      <c r="B10" s="1" t="n">
        <v>0.02</v>
      </c>
    </row>
    <row r="11">
      <c r="A11" t="inlineStr">
        <is>
          <t>T_DAYS</t>
        </is>
      </c>
      <c r="B11" s="1" t="n">
        <v>90</v>
      </c>
    </row>
    <row r="12">
      <c r="A12" t="inlineStr">
        <is>
          <t>T_YRS</t>
        </is>
      </c>
      <c r="B12" s="1">
        <f>B11/360</f>
        <v/>
      </c>
    </row>
    <row r="13">
      <c r="A13" t="inlineStr">
        <is>
          <t>TX_COST</t>
        </is>
      </c>
      <c r="B13" t="n">
        <v>0.001</v>
      </c>
    </row>
    <row r="14"/>
    <row r="15"/>
    <row r="1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Forward USD Proceeds</t>
        </is>
      </c>
      <c r="B1" s="2">
        <f>FC_AMT*F0_in*(1-TX_COST)</f>
        <v/>
      </c>
    </row>
    <row r="2"/>
    <row r="3">
      <c r="A3" t="inlineStr">
        <is>
          <t>MM Hedge - EUR PV</t>
        </is>
      </c>
      <c r="B3" s="3">
        <f>FC_AMT/(1+R_FC*T_YRS)</f>
        <v/>
      </c>
    </row>
    <row r="4">
      <c r="A4" t="inlineStr">
        <is>
          <t>MM Hedge - USD Today</t>
        </is>
      </c>
      <c r="B4" s="3">
        <f>B3*S0_in*(1-TX_COST)</f>
        <v/>
      </c>
    </row>
    <row r="5">
      <c r="A5" t="inlineStr">
        <is>
          <t>MM Hedge - USD at Maturity</t>
        </is>
      </c>
      <c r="B5" s="2">
        <f>B4*(1+R_USD*T_YRS)</f>
        <v/>
      </c>
    </row>
    <row r="6"/>
    <row r="7">
      <c r="A7" t="inlineStr">
        <is>
          <t>Option Gross Proceeds</t>
        </is>
      </c>
      <c r="B7" s="3">
        <f>MAX(K_PUT,S0_in)*FC_AMT</f>
        <v/>
      </c>
    </row>
    <row r="8">
      <c r="A8" t="inlineStr">
        <is>
          <t>Option Net Proceeds</t>
        </is>
      </c>
      <c r="B8" s="2">
        <f>B7-(PREM_PUT*FC_AMT)</f>
        <v/>
      </c>
    </row>
    <row r="9"/>
    <row r="10">
      <c r="A10" t="inlineStr">
        <is>
          <t>S_T</t>
        </is>
      </c>
      <c r="B10" t="inlineStr">
        <is>
          <t>Unhedged</t>
        </is>
      </c>
      <c r="C10" t="inlineStr">
        <is>
          <t>Forward</t>
        </is>
      </c>
      <c r="D10" t="inlineStr">
        <is>
          <t>Money Market</t>
        </is>
      </c>
      <c r="E10" t="inlineStr">
        <is>
          <t>Option</t>
        </is>
      </c>
    </row>
    <row r="11">
      <c r="A11" t="n">
        <v>0.95</v>
      </c>
      <c r="B11">
        <f>FC_AMT*S0_in*A11</f>
        <v/>
      </c>
      <c r="C11">
        <f>B1</f>
        <v/>
      </c>
      <c r="D11">
        <f>B5</f>
        <v/>
      </c>
      <c r="E11">
        <f>(MAX(K_PUT,S0_in*A11)*FC_AMT)-(PREM_PUT*FC_AMT)</f>
        <v/>
      </c>
    </row>
    <row r="12">
      <c r="A12" t="n">
        <v>0.975</v>
      </c>
      <c r="B12">
        <f>FC_AMT*S0_in*A12</f>
        <v/>
      </c>
      <c r="C12">
        <f>B1</f>
        <v/>
      </c>
      <c r="D12">
        <f>B5</f>
        <v/>
      </c>
      <c r="E12">
        <f>(MAX(K_PUT,S0_in*A12)*FC_AMT)-(PREM_PUT*FC_AMT)</f>
        <v/>
      </c>
    </row>
    <row r="13">
      <c r="A13" t="n">
        <v>1</v>
      </c>
      <c r="B13">
        <f>FC_AMT*S0_in*A13</f>
        <v/>
      </c>
      <c r="C13">
        <f>B1</f>
        <v/>
      </c>
      <c r="D13">
        <f>B5</f>
        <v/>
      </c>
      <c r="E13">
        <f>(MAX(K_PUT,S0_in*A13)*FC_AMT)-(PREM_PUT*FC_AMT)</f>
        <v/>
      </c>
    </row>
    <row r="14">
      <c r="A14" t="n">
        <v>1.025</v>
      </c>
      <c r="B14">
        <f>FC_AMT*S0_in*A14</f>
        <v/>
      </c>
      <c r="C14">
        <f>B1</f>
        <v/>
      </c>
      <c r="D14">
        <f>B5</f>
        <v/>
      </c>
      <c r="E14">
        <f>(MAX(K_PUT,S0_in*A14)*FC_AMT)-(PREM_PUT*FC_AMT)</f>
        <v/>
      </c>
    </row>
    <row r="15">
      <c r="A15" t="n">
        <v>1.05</v>
      </c>
      <c r="B15">
        <f>FC_AMT*S0_in*A15</f>
        <v/>
      </c>
      <c r="C15">
        <f>B1</f>
        <v/>
      </c>
      <c r="D15">
        <f>B5</f>
        <v/>
      </c>
      <c r="E15">
        <f>(MAX(K_PUT,S0_in*A15)*FC_AMT)-(PREM_PUT*FC_AMT)</f>
        <v/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2025-12-06T02:05:06Z</dcterms:created>
  <dcterms:modified xmlns:dcterms="http://purl.org/dc/terms/" xmlns:xsi="http://www.w3.org/2001/XMLSchema-instance" xsi:type="dcterms:W3CDTF">2025-12-06T02:05:06Z</dcterms:modified>
</cp:coreProperties>
</file>